
<file path=[Content_Types].xml><?xml version="1.0" encoding="utf-8"?>
<Types xmlns="http://schemas.openxmlformats.org/package/2006/content-types">
  <Default Extension="vml" ContentType="application/vnd.openxmlformats-officedocument.vmlDrawi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00" windowHeight="11220" tabRatio="799"/>
  </bookViews>
  <sheets>
    <sheet name="充值结算单" sheetId="2" r:id="rId1"/>
  </sheets>
  <definedNames>
    <definedName name="_xlnm.Print_Area" localSheetId="0">充值结算单!$B$1:$H$24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王欣欣</author>
  </authors>
  <commentList>
    <comment ref="D18" authorId="0">
      <text>
        <r>
          <rPr>
            <b/>
            <sz val="9"/>
            <rFont val="宋体"/>
            <charset val="134"/>
          </rPr>
          <t>王欣欣:</t>
        </r>
        <r>
          <rPr>
            <sz val="9"/>
            <rFont val="宋体"/>
            <charset val="134"/>
          </rPr>
          <t xml:space="preserve">
惠州鸿粤鸿景汽车销售服务有限公司--10月账单1380元未付款未充值</t>
        </r>
      </text>
    </comment>
  </commentList>
</comments>
</file>

<file path=xl/sharedStrings.xml><?xml version="1.0" encoding="utf-8"?>
<sst xmlns="http://schemas.openxmlformats.org/spreadsheetml/2006/main" count="28" uniqueCount="28">
  <si>
    <t>《广东鸿粤汽车销售集团有限公司》结算单</t>
  </si>
  <si>
    <t>收件方：广东鸿粤汽车销售集团有限公司</t>
  </si>
  <si>
    <t>发件公司：深圳市特航航空服务有限公司</t>
  </si>
  <si>
    <t>收件人：李艺玲</t>
  </si>
  <si>
    <t>发件人：</t>
  </si>
  <si>
    <t>电话：15018410944</t>
  </si>
  <si>
    <t>电话：</t>
  </si>
  <si>
    <t>本公司2025-13-01至2025-13-01与贵公司(广东鸿粤汽车销售集团有限公司)的结算款项列示如下：</t>
  </si>
  <si>
    <t>类型</t>
  </si>
  <si>
    <t>产品费</t>
  </si>
  <si>
    <t>产品费抵扣（SAAS）</t>
  </si>
  <si>
    <t>服务费</t>
  </si>
  <si>
    <t>总计金额</t>
  </si>
  <si>
    <t>国内机票</t>
  </si>
  <si>
    <t>国际机票</t>
  </si>
  <si>
    <t>国内酒店</t>
  </si>
  <si>
    <t>国际酒店</t>
  </si>
  <si>
    <t>国内火车</t>
  </si>
  <si>
    <t>国内用车</t>
  </si>
  <si>
    <t>国内外卖</t>
  </si>
  <si>
    <t>商务卡</t>
  </si>
  <si>
    <t>合计</t>
  </si>
  <si>
    <t>X月余额</t>
  </si>
  <si>
    <t>Y月总预存金额</t>
  </si>
  <si>
    <t>本期账单总金额</t>
  </si>
  <si>
    <t>截止Y月y日预存款余额</t>
  </si>
  <si>
    <t>本次消费金额为：人民币（大写）</t>
  </si>
  <si>
    <t>注：烦请贵司三个工作日内确认，逾期确认或不确认均视为贵司认可所有消费明细。如有疑问请与我司联系。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</si>
</sst>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4"/>
      <name val="微软雅黑"/>
      <charset val="134"/>
    </font>
    <font>
      <b/>
      <sz val="11"/>
      <color theme="1"/>
      <name val="微软雅黑"/>
      <charset val="134"/>
    </font>
    <font>
      <sz val="12"/>
      <color theme="1"/>
      <name val="微软雅黑"/>
      <charset val="134"/>
    </font>
    <font>
      <b/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4" tint="0.799920651875362"/>
        <bgColor indexed="64"/>
      </patternFill>
    </fill>
    <fill>
      <patternFill patternType="solid">
        <fgColor theme="6" tint="0.7999206518753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auto="1"/>
      </top>
      <bottom/>
      <diagonal/>
    </border>
    <border>
      <left style="thin">
        <color theme="4" tint="0.399914548173467"/>
      </left>
      <right style="thin">
        <color theme="4" tint="0.399914548173467"/>
      </right>
      <top style="thin">
        <color theme="4" tint="0.399914548173467"/>
      </top>
      <bottom style="thin">
        <color theme="4" tint="0.399914548173467"/>
      </bottom>
      <diagonal/>
    </border>
    <border>
      <left/>
      <right/>
      <top style="thin">
        <color theme="4" tint="0.399914548173467"/>
      </top>
      <bottom/>
      <diagonal/>
    </border>
    <border>
      <left/>
      <right/>
      <top style="thin">
        <color theme="4" tint="0.399975585192419"/>
      </top>
      <bottom style="double">
        <color theme="4" tint="0.39991454817346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7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6" borderId="11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7" borderId="12" applyNumberFormat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indent="1"/>
    </xf>
    <xf numFmtId="0" fontId="3" fillId="2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left" vertical="center" indent="1"/>
    </xf>
    <xf numFmtId="0" fontId="1" fillId="0" borderId="4" xfId="0" applyFont="1" applyBorder="1" applyAlignment="1">
      <alignment horizontal="left" vertical="center" inden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center" wrapText="1"/>
    </xf>
    <xf numFmtId="0" fontId="1" fillId="3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294005</xdr:colOff>
      <xdr:row>0</xdr:row>
      <xdr:rowOff>349885</xdr:rowOff>
    </xdr:from>
    <xdr:to>
      <xdr:col>6</xdr:col>
      <xdr:colOff>1565275</xdr:colOff>
      <xdr:row>0</xdr:row>
      <xdr:rowOff>743585</xdr:rowOff>
    </xdr:to>
    <xdr:pic>
      <xdr:nvPicPr>
        <xdr:cNvPr id="3" name="图片 2" descr="微信截图_2024102215112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895205" y="349885"/>
          <a:ext cx="1271270" cy="393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C1:G23"/>
  <sheetViews>
    <sheetView showGridLines="0" tabSelected="1" topLeftCell="A2" workbookViewId="0">
      <selection activeCell="F19" sqref="F19"/>
    </sheetView>
  </sheetViews>
  <sheetFormatPr defaultColWidth="34.4416666666667" defaultRowHeight="19.95" customHeight="1" outlineLevelCol="6"/>
  <cols>
    <col min="1" max="1" width="20.6666666666667" style="1" customWidth="1"/>
    <col min="2" max="2" width="2.66666666666667" style="1" customWidth="1"/>
    <col min="3" max="7" width="25.6666666666667" style="1" customWidth="1"/>
    <col min="8" max="8" width="2.66666666666667" style="1" customWidth="1"/>
    <col min="9" max="34" width="9.21666666666667" style="1" customWidth="1"/>
    <col min="35" max="16384" width="34.4416666666667" style="1"/>
  </cols>
  <sheetData>
    <row r="1" ht="79.95" customHeight="1" spans="3:7">
      <c r="C1" s="2" t="s">
        <v>0</v>
      </c>
      <c r="D1" s="2"/>
      <c r="E1" s="2"/>
      <c r="F1" s="2"/>
      <c r="G1" s="2"/>
    </row>
    <row r="3" customHeight="1" spans="3:7">
      <c r="C3" s="3" t="s">
        <v>1</v>
      </c>
      <c r="D3" s="4"/>
      <c r="E3" s="5"/>
      <c r="F3" s="3" t="s">
        <v>2</v>
      </c>
      <c r="G3" s="3"/>
    </row>
    <row r="4" customHeight="1" spans="3:7">
      <c r="C4" s="3" t="s">
        <v>3</v>
      </c>
      <c r="D4" s="4"/>
      <c r="E4" s="5"/>
      <c r="F4" s="6" t="s">
        <v>4</v>
      </c>
      <c r="G4" s="6"/>
    </row>
    <row r="5" customHeight="1" spans="3:7">
      <c r="C5" s="6" t="s">
        <v>5</v>
      </c>
      <c r="D5" s="5"/>
      <c r="E5" s="5"/>
      <c r="F5" s="7" t="s">
        <v>6</v>
      </c>
      <c r="G5" s="7"/>
    </row>
    <row r="6" ht="49.95" customHeight="1" spans="3:7">
      <c r="C6" s="8" t="s">
        <v>7</v>
      </c>
      <c r="D6" s="8"/>
      <c r="E6" s="9"/>
      <c r="F6" s="9"/>
      <c r="G6" s="9"/>
    </row>
    <row r="7" ht="40.2" customHeight="1" spans="3:7">
      <c r="C7" s="10" t="s">
        <v>8</v>
      </c>
      <c r="D7" s="11" t="s">
        <v>9</v>
      </c>
      <c r="E7" s="11" t="s">
        <v>10</v>
      </c>
      <c r="F7" s="11" t="s">
        <v>11</v>
      </c>
      <c r="G7" s="11" t="s">
        <v>12</v>
      </c>
    </row>
    <row r="8" customHeight="1" spans="3:7">
      <c r="C8" s="12" t="s">
        <v>13</v>
      </c>
      <c r="D8" s="13">
        <v>-1</v>
      </c>
      <c r="E8" s="13">
        <v>0</v>
      </c>
      <c r="F8" s="13">
        <v>0</v>
      </c>
      <c r="G8" s="13">
        <f>SUM(D8)</f>
        <v>-1</v>
      </c>
    </row>
    <row r="9" customHeight="1" spans="3:7">
      <c r="C9" s="12" t="s">
        <v>14</v>
      </c>
      <c r="D9" s="13">
        <v>-1</v>
      </c>
      <c r="E9" s="13">
        <v>0</v>
      </c>
      <c r="F9" s="13">
        <v>0</v>
      </c>
      <c r="G9" s="13">
        <f>SUM(D9)</f>
        <v>-1</v>
      </c>
    </row>
    <row r="10" customHeight="1" spans="3:7">
      <c r="C10" s="12" t="s">
        <v>15</v>
      </c>
      <c r="D10" s="13">
        <v>0</v>
      </c>
      <c r="E10" s="13">
        <v>0</v>
      </c>
      <c r="F10" s="13">
        <v>0</v>
      </c>
      <c r="G10" s="13">
        <v>0</v>
      </c>
    </row>
    <row r="11" customHeight="1" spans="3:7">
      <c r="C11" s="12" t="s">
        <v>16</v>
      </c>
      <c r="D11" s="13">
        <v>0</v>
      </c>
      <c r="E11" s="13">
        <v>0</v>
      </c>
      <c r="F11" s="13">
        <v>0</v>
      </c>
      <c r="G11" s="13">
        <v>0</v>
      </c>
    </row>
    <row r="12" customHeight="1" spans="3:7">
      <c r="C12" s="12" t="s">
        <v>17</v>
      </c>
      <c r="D12" s="13">
        <v>0</v>
      </c>
      <c r="E12" s="13">
        <v>0</v>
      </c>
      <c r="F12" s="13">
        <v>0</v>
      </c>
      <c r="G12" s="13">
        <v>0</v>
      </c>
    </row>
    <row r="13" customHeight="1" spans="3:7">
      <c r="C13" s="12" t="s">
        <v>18</v>
      </c>
      <c r="D13" s="13">
        <v>0</v>
      </c>
      <c r="E13" s="13">
        <v>0</v>
      </c>
      <c r="F13" s="13">
        <v>0</v>
      </c>
      <c r="G13" s="13">
        <v>0</v>
      </c>
    </row>
    <row r="14" customHeight="1" spans="3:7">
      <c r="C14" s="12" t="s">
        <v>19</v>
      </c>
      <c r="D14" s="13">
        <v>0</v>
      </c>
      <c r="E14" s="13">
        <v>0</v>
      </c>
      <c r="F14" s="13">
        <v>0</v>
      </c>
      <c r="G14" s="13">
        <v>0</v>
      </c>
    </row>
    <row r="15" customHeight="1" spans="3:7">
      <c r="C15" s="12" t="s">
        <v>20</v>
      </c>
      <c r="D15" s="13">
        <v>0</v>
      </c>
      <c r="E15" s="13">
        <v>0</v>
      </c>
      <c r="F15" s="13">
        <v>0</v>
      </c>
      <c r="G15" s="13">
        <v>0</v>
      </c>
    </row>
    <row r="16" ht="30" customHeight="1" spans="3:7">
      <c r="C16" s="10" t="s">
        <v>21</v>
      </c>
      <c r="D16" s="10">
        <f>SUM(G16)</f>
        <v>-2</v>
      </c>
      <c r="E16" s="10">
        <v>0</v>
      </c>
      <c r="F16" s="10">
        <v>0</v>
      </c>
      <c r="G16" s="10">
        <f>SUM(G8:G15)</f>
        <v>-2</v>
      </c>
    </row>
    <row r="17" ht="40.2" customHeight="1"/>
    <row r="18" ht="40.2" customHeight="1" spans="3:7">
      <c r="C18" s="14" t="s">
        <v>22</v>
      </c>
      <c r="D18" s="14" t="s">
        <v>23</v>
      </c>
      <c r="E18" s="14" t="s">
        <v>24</v>
      </c>
      <c r="F18" s="14" t="s">
        <v>25</v>
      </c>
      <c r="G18" s="14"/>
    </row>
    <row r="19" ht="40.2" customHeight="1" spans="3:7">
      <c r="C19" s="14">
        <v>0</v>
      </c>
      <c r="D19" s="14">
        <v>0</v>
      </c>
      <c r="E19" s="14">
        <f>SUM(G16)</f>
        <v>-2</v>
      </c>
      <c r="F19" s="14">
        <f>C19+D19-E19</f>
        <v>2</v>
      </c>
      <c r="G19" s="14"/>
    </row>
    <row r="20" customHeight="1" spans="3:7">
      <c r="C20" s="15" t="s">
        <v>26</v>
      </c>
      <c r="D20" s="15"/>
      <c r="E20" s="15" t="str">
        <f>SUBSTITUTE(SUBSTITUTE(IF(G16&lt;0,"负 ","")&amp;TEXT(TRUNC(ABS(ROUND(G16,2))),"[DBNum2]")&amp;"元 "&amp;IF(ISERR(FIND(".",ROUND(G16,2))),"",TEXT(RIGHT(TRUNC(ROUND(G16,2)*10)),"[DBNum2]"))&amp;IF(ISERR(FIND(".0",TEXT(G16,"0.00"))),"角 ","")&amp;IF(LEFT(RIGHT(ROUND(G16,2),3))=".",TEXT(RIGHT(ROUND(G16,2)),"[DBNum2]")&amp;"分",IF(ROUND(G16,2)=0,"","整")),"零元零",""),"零元","")</f>
        <v>负 贰元 整</v>
      </c>
      <c r="F20" s="15"/>
      <c r="G20" s="15"/>
    </row>
    <row r="21" ht="30" customHeight="1"/>
    <row r="22" ht="30" customHeight="1"/>
    <row r="23" customHeight="1" spans="3:7">
      <c r="C23" s="16" t="s">
        <v>27</v>
      </c>
      <c r="D23" s="16"/>
      <c r="E23" s="16"/>
      <c r="F23" s="16"/>
      <c r="G23" s="16"/>
    </row>
  </sheetData>
  <mergeCells count="15">
    <mergeCell ref="C1:G1"/>
    <mergeCell ref="C6:G6"/>
    <mergeCell ref="D7:F7"/>
    <mergeCell ref="D8:F8"/>
    <mergeCell ref="D9:F9"/>
    <mergeCell ref="D10:F10"/>
    <mergeCell ref="D11:F11"/>
    <mergeCell ref="D12:F12"/>
    <mergeCell ref="D13:F13"/>
    <mergeCell ref="D14:F14"/>
    <mergeCell ref="D15:F15"/>
    <mergeCell ref="D16:F16"/>
    <mergeCell ref="C20:D20"/>
    <mergeCell ref="E20:G20"/>
    <mergeCell ref="C23:G23"/>
  </mergeCells>
  <pageMargins left="0.75" right="0.75" top="1" bottom="1" header="0.5" footer="0.5"/>
  <headerFooter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充值结算单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ckdesign</dc:creator>
  <cp:lastModifiedBy>K</cp:lastModifiedBy>
  <dcterms:created xsi:type="dcterms:W3CDTF">2023-11-10T15:03:00Z</dcterms:created>
  <cp:lastPrinted>2023-11-09T03:00:00Z</cp:lastPrinted>
  <dcterms:modified xsi:type="dcterms:W3CDTF">2025-12-08T13:09:15Z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0578FFF8214347328A44AEB05482DE60_13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